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1b3cd31be1b4d63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ento_zošit" defaultThemeVersion="166925"/>
  <mc:AlternateContent xmlns:mc="http://schemas.openxmlformats.org/markup-compatibility/2006">
    <mc:Choice Requires="x15">
      <x15ac:absPath xmlns:x15ac="http://schemas.microsoft.com/office/spreadsheetml/2010/11/ac" url="C:\Users\matth\Documents\Excel\OpticalGates\"/>
    </mc:Choice>
  </mc:AlternateContent>
  <xr:revisionPtr revIDLastSave="0" documentId="13_ncr:1_{F1004577-1780-4A55-AFE4-B094A33B30A4}" xr6:coauthVersionLast="47" xr6:coauthVersionMax="47" xr10:uidLastSave="{00000000-0000-0000-0000-000000000000}"/>
  <bookViews>
    <workbookView xWindow="1830" yWindow="5235" windowWidth="19440" windowHeight="10980" xr2:uid="{A5494CD1-8B7F-4754-A9E0-64CA07884954}"/>
  </bookViews>
  <sheets>
    <sheet name="Grafy" sheetId="1" r:id="rId1"/>
    <sheet name="Data" sheetId="5" r:id="rId2"/>
    <sheet name="Nastavenia" sheetId="6" r:id="rId3"/>
  </sheets>
  <functionGroups builtInGroupCount="19"/>
  <definedNames>
    <definedName name="ExternéÚdaje_1" localSheetId="1" hidden="1">Data!$B$1:$C$7</definedName>
    <definedName name="tblDataIn">#REF!</definedName>
    <definedName name="xDataGraphG1">Grafy!$A$6:$B$25</definedName>
    <definedName name="xDataGraphG2">Grafy!$E$6:$F$25</definedName>
    <definedName name="xDataGraphG3">Grafy!$I$6:$J$25</definedName>
    <definedName name="xGrafData_ts">Data!$G$1:$H$21</definedName>
    <definedName name="xGraphData">Data!$G$2:$H$21</definedName>
    <definedName name="xVzdialenostBran">Nastavenia!$B$1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5" l="1" a="1"/>
  <c r="E18" i="5" a="1"/>
  <c r="E12" i="5" a="1"/>
  <c r="E17" i="5" a="1"/>
  <c r="E16" i="5" a="1"/>
  <c r="E11" i="5" a="1"/>
  <c r="E13" i="5" a="1"/>
  <c r="E15" i="5" a="1"/>
  <c r="E5" i="5" a="1"/>
  <c r="E10" i="5" a="1"/>
  <c r="E7" i="5" a="1"/>
  <c r="E21" i="5" a="1"/>
  <c r="E19" i="5" a="1"/>
  <c r="E3" i="5" a="1"/>
  <c r="E9" i="5" a="1"/>
  <c r="E4" i="5" a="1"/>
  <c r="E8" i="5" a="1"/>
  <c r="E6" i="5" a="1"/>
  <c r="E20" i="5" a="1"/>
  <c r="E2" i="5" a="1"/>
  <c r="E20" i="5" l="1"/>
  <c r="E21" i="5"/>
  <c r="E14" i="5"/>
  <c r="E9" i="5"/>
  <c r="E17" i="5"/>
  <c r="E4" i="5"/>
  <c r="E7" i="5"/>
  <c r="E10" i="5"/>
  <c r="E18" i="5"/>
  <c r="E2" i="5"/>
  <c r="E5" i="5"/>
  <c r="E13" i="5"/>
  <c r="E6" i="5"/>
  <c r="E12" i="5"/>
  <c r="E15" i="5"/>
  <c r="E8" i="5"/>
  <c r="E16" i="5"/>
  <c r="E3" i="5"/>
  <c r="E11" i="5"/>
  <c r="E19" i="5"/>
  <c r="F2" i="5" a="1"/>
  <c r="F2" i="5" l="1"/>
  <c r="H15" i="5"/>
  <c r="G15" i="5"/>
  <c r="F15" i="5" a="1"/>
  <c r="F15" i="5" s="1"/>
  <c r="H12" i="5"/>
  <c r="G12" i="5"/>
  <c r="F12" i="5" a="1"/>
  <c r="F12" i="5" s="1"/>
  <c r="G13" i="5"/>
  <c r="H13" i="5"/>
  <c r="F13" i="5" a="1"/>
  <c r="F13" i="5" s="1"/>
  <c r="H18" i="5"/>
  <c r="G18" i="5"/>
  <c r="F18" i="5" a="1"/>
  <c r="F18" i="5" s="1"/>
  <c r="H10" i="5"/>
  <c r="G10" i="5"/>
  <c r="F10" i="5" a="1"/>
  <c r="F10" i="5" s="1"/>
  <c r="H17" i="5"/>
  <c r="G17" i="5"/>
  <c r="F17" i="5" a="1"/>
  <c r="F17" i="5" s="1"/>
  <c r="H19" i="5"/>
  <c r="G19" i="5"/>
  <c r="F19" i="5" a="1"/>
  <c r="F19" i="5" s="1"/>
  <c r="H11" i="5"/>
  <c r="G11" i="5"/>
  <c r="F11" i="5" a="1"/>
  <c r="F11" i="5" s="1"/>
  <c r="H14" i="5"/>
  <c r="G14" i="5"/>
  <c r="F14" i="5" a="1"/>
  <c r="F14" i="5" s="1"/>
  <c r="H3" i="5"/>
  <c r="H4" i="5" s="1"/>
  <c r="H5" i="5" s="1"/>
  <c r="H6" i="5" s="1"/>
  <c r="H7" i="5" s="1"/>
  <c r="H8" i="5" s="1"/>
  <c r="H9" i="5" s="1"/>
  <c r="H21" i="5"/>
  <c r="G21" i="5"/>
  <c r="F21" i="5" a="1"/>
  <c r="F21" i="5" s="1"/>
  <c r="F16" i="5" a="1"/>
  <c r="F16" i="5" s="1"/>
  <c r="H16" i="5"/>
  <c r="G16" i="5"/>
  <c r="H20" i="5"/>
  <c r="G20" i="5"/>
  <c r="F20" i="5" a="1"/>
  <c r="F20" i="5" s="1"/>
  <c r="F4" i="5" a="1"/>
  <c r="F9" i="5" a="1"/>
  <c r="F8" i="5" a="1"/>
  <c r="F6" i="5" a="1"/>
  <c r="F7" i="5" a="1"/>
  <c r="F3" i="5" a="1"/>
  <c r="F5" i="5" a="1"/>
  <c r="F4" i="5" l="1"/>
  <c r="G4" i="5" s="1"/>
  <c r="F7" i="5"/>
  <c r="G7" i="5" s="1"/>
  <c r="F9" i="5"/>
  <c r="G9" i="5" s="1"/>
  <c r="F5" i="5"/>
  <c r="G5" i="5" s="1"/>
  <c r="F8" i="5"/>
  <c r="G8" i="5" s="1"/>
  <c r="F6" i="5"/>
  <c r="G6" i="5" s="1"/>
  <c r="F3" i="5"/>
  <c r="G3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C88B3EF-1F77-4ED3-A4F7-CC7CD71B2C4E}" keepAlive="1" name="Pripojenie" type="5" refreshedVersion="0" background="1">
    <dbPr connection="Provider=Microsoft.Mashup.OleDb.1;Data Source=$Workbook$;Location=&quot;OpticalGatesData&quot;;Extended Properties=&quot;&quot;" commandType="0"/>
  </connection>
  <connection id="2" xr16:uid="{A5EBD964-A480-4BDD-AFAC-9B793E4B262B}" keepAlive="1" name="Pripojenie1" type="5" refreshedVersion="0" background="1">
    <dbPr connection="Provider=Microsoft.Mashup.OleDb.1;Data Source=$Workbook$;Location=&quot;OpticalGatesData&quot;;Extended Properties=&quot;&quot;" commandType="0"/>
  </connection>
  <connection id="3" xr16:uid="{7F9723EB-7B76-4081-B429-19D7B7FE9AD2}" keepAlive="1" name="Pripojenie10" type="5" refreshedVersion="0" background="1">
    <dbPr connection="Provider=Microsoft.Mashup.OleDb.1;Data Source=$Workbook$;Location=&quot;OpticalGatesData&quot;;Extended Properties=&quot;&quot;" commandType="0"/>
  </connection>
  <connection id="4" xr16:uid="{400CC587-40E7-4389-AB42-FAF3B4447A0A}" keepAlive="1" name="Pripojenie11" type="5" refreshedVersion="0" background="1">
    <dbPr connection="Provider=Microsoft.Mashup.OleDb.1;Data Source=$Workbook$;Location=&quot;OpticalGatesData&quot;;Extended Properties=&quot;&quot;" commandType="0"/>
  </connection>
  <connection id="5" xr16:uid="{7F60EE05-3491-4FBC-8620-5DA3AB3AC20D}" keepAlive="1" name="Pripojenie12" type="5" refreshedVersion="8" background="1" saveData="1">
    <dbPr connection="Provider=Microsoft.Mashup.OleDb.1;Data Source=$Workbook$;Location=&quot;OpticalGatesData&quot;;Extended Properties=&quot;&quot;" command="SELECT * FROM [OpticalGatesData]"/>
  </connection>
  <connection id="6" xr16:uid="{497A3AC3-5E00-4A63-8BE8-DEAAF28F2AE7}" keepAlive="1" name="Pripojenie13" type="5" refreshedVersion="8" background="1" saveData="1">
    <dbPr connection="Provider=Microsoft.Mashup.OleDb.1;Data Source=$Workbook$;Location=&quot;OpticalGatesData&quot;;Extended Properties=&quot;&quot;" command="SELECT * FROM [OpticalGatesData]"/>
  </connection>
  <connection id="7" xr16:uid="{703DA4DC-2706-42F6-937B-2ACB299F6FAE}" keepAlive="1" name="Pripojenie14" type="5" refreshedVersion="0" background="1">
    <dbPr connection="Provider=Microsoft.Mashup.OleDb.1;Data Source=$Workbook$;Location=&quot;OpticalGatesData&quot;;Extended Properties=&quot;&quot;" commandType="0"/>
  </connection>
  <connection id="8" xr16:uid="{8995EABD-534A-44A5-8092-AF3D95503A34}" keepAlive="1" name="Pripojenie15" type="5" refreshedVersion="0" background="1">
    <dbPr connection="Provider=Microsoft.Mashup.OleDb.1;Data Source=$Workbook$;Location=&quot;OpticalGatesData&quot;;Extended Properties=&quot;&quot;" commandType="0"/>
  </connection>
  <connection id="9" xr16:uid="{457CEF29-4D77-450C-B12C-54793B278434}" keepAlive="1" name="Pripojenie16" type="5" refreshedVersion="0" background="1">
    <dbPr connection="Provider=Microsoft.Mashup.OleDb.1;Data Source=$Workbook$;Location=&quot;OpticalGatesData&quot;;Extended Properties=&quot;&quot;" commandType="0"/>
  </connection>
  <connection id="10" xr16:uid="{A8D59EF0-051E-4051-BF74-D25B5E330A85}" keepAlive="1" name="Pripojenie17" type="5" refreshedVersion="0" background="1">
    <dbPr connection="Provider=Microsoft.Mashup.OleDb.1;Data Source=$Workbook$;Location=&quot;OpticalGatesData&quot;;Extended Properties=&quot;&quot;" commandType="0"/>
  </connection>
  <connection id="11" xr16:uid="{F8927DE9-CC73-424D-BB54-0F1DA2D5088D}" keepAlive="1" name="Pripojenie18" type="5" refreshedVersion="0" background="1">
    <dbPr connection="Provider=Microsoft.Mashup.OleDb.1;Data Source=$Workbook$;Location=&quot;OpticalGatesData&quot;;Extended Properties=&quot;&quot;" commandType="0"/>
  </connection>
  <connection id="12" xr16:uid="{BA21CDD4-344C-42AA-8F22-195BDB4C0A4D}" keepAlive="1" name="Pripojenie19" type="5" refreshedVersion="0" background="1">
    <dbPr connection="Provider=Microsoft.Mashup.OleDb.1;Data Source=$Workbook$;Location=&quot;OpticalGatesData&quot;;Extended Properties=&quot;&quot;" commandType="0"/>
  </connection>
  <connection id="13" xr16:uid="{9301CE4F-047E-4A83-9D60-48A578B81F4B}" keepAlive="1" name="Pripojenie2" type="5" refreshedVersion="0" background="1">
    <dbPr connection="Provider=Microsoft.Mashup.OleDb.1;Data Source=$Workbook$;Location=&quot;OpticalGatesData&quot;;Extended Properties=&quot;&quot;" commandType="0"/>
  </connection>
  <connection id="14" xr16:uid="{05EA5E44-7510-41C4-A6A9-2FED9D5DB122}" keepAlive="1" name="Pripojenie20" type="5" refreshedVersion="0" background="1">
    <dbPr connection="Provider=Microsoft.Mashup.OleDb.1;Data Source=$Workbook$;Location=&quot;OpticalGatesData&quot;;Extended Properties=&quot;&quot;" commandType="0"/>
  </connection>
  <connection id="15" xr16:uid="{49D1C584-F16C-4AA6-93BC-F0205BE1A628}" keepAlive="1" name="Pripojenie21" type="5" refreshedVersion="0" background="1">
    <dbPr connection="Provider=Microsoft.Mashup.OleDb.1;Data Source=$Workbook$;Location=&quot;OpticalGatesData&quot;;Extended Properties=&quot;&quot;" commandType="0"/>
  </connection>
  <connection id="16" xr16:uid="{C6025C71-27DD-49F9-8CD2-3FE58BC13FEE}" keepAlive="1" name="Pripojenie22" type="5" refreshedVersion="0" background="1">
    <dbPr connection="Provider=Microsoft.Mashup.OleDb.1;Data Source=$Workbook$;Location=&quot;OpticalGatesData&quot;;Extended Properties=&quot;&quot;" commandType="0"/>
  </connection>
  <connection id="17" xr16:uid="{CF0593DB-551C-40A5-9764-54CB4F89C321}" keepAlive="1" name="Pripojenie23" type="5" refreshedVersion="0" background="1">
    <dbPr connection="Provider=Microsoft.Mashup.OleDb.1;Data Source=$Workbook$;Location=&quot;OpticalGatesData&quot;;Extended Properties=&quot;&quot;" commandType="0"/>
  </connection>
  <connection id="18" xr16:uid="{076A66DE-3FC6-4A45-83F6-F1966FD293F3}" keepAlive="1" name="Pripojenie24" type="5" refreshedVersion="8" background="1" saveData="1">
    <dbPr connection="Provider=Microsoft.Mashup.OleDb.1;Data Source=$Workbook$;Location=&quot;OpticalGatesData&quot;;Extended Properties=&quot;&quot;" command="SELECT * FROM [OpticalGatesData]"/>
  </connection>
  <connection id="19" xr16:uid="{A1F9E5C7-E0DD-4DEB-BDD5-08E1D5EA3892}" keepAlive="1" name="Pripojenie25" type="5" refreshedVersion="0" saveData="1">
    <dbPr connection="Provider=Microsoft.Mashup.OleDb.1;Data Source=$Workbook$;Location=&quot;OpticalGatesData&quot;;Extended Properties=&quot;&quot;" commandType="0"/>
  </connection>
  <connection id="20" xr16:uid="{881603B8-A415-4A1E-BB3C-1F4DA8863741}" keepAlive="1" name="Pripojenie26" type="5" refreshedVersion="0" saveData="1">
    <dbPr connection="Provider=Microsoft.Mashup.OleDb.1;Data Source=$Workbook$;Location=&quot;OpticalGatesData&quot;;Extended Properties=&quot;&quot;" commandType="0"/>
  </connection>
  <connection id="21" xr16:uid="{1947834B-C3F0-40DA-B357-9E818B119844}" keepAlive="1" name="Pripojenie27" type="5" refreshedVersion="8" background="1" saveData="1">
    <dbPr connection="Provider=Microsoft.Mashup.OleDb.1;Data Source=$Workbook$;Location=&quot;OpticalGatesData&quot;;Extended Properties=&quot;&quot;" command="SELECT * FROM [OpticalGatesData]"/>
  </connection>
  <connection id="22" xr16:uid="{F396A5CB-AE2C-47E8-A645-EA7CF518E018}" keepAlive="1" name="Pripojenie3" type="5" refreshedVersion="0" background="1">
    <dbPr connection="Provider=Microsoft.Mashup.OleDb.1;Data Source=$Workbook$;Location=&quot;OpticalGatesData&quot;;Extended Properties=&quot;&quot;" commandType="0"/>
  </connection>
  <connection id="23" xr16:uid="{8B826B28-9EA7-405D-A876-77A7F86B8ECD}" keepAlive="1" name="Pripojenie4" type="5" refreshedVersion="0" background="1">
    <dbPr connection="Provider=Microsoft.Mashup.OleDb.1;Data Source=$Workbook$;Location=&quot;OpticalGatesData&quot;;Extended Properties=&quot;&quot;" commandType="0"/>
  </connection>
  <connection id="24" xr16:uid="{153BCA0B-2985-48B6-80AE-BAC1762B6DC5}" keepAlive="1" name="Pripojenie5" type="5" refreshedVersion="0" background="1">
    <dbPr connection="Provider=Microsoft.Mashup.OleDb.1;Data Source=$Workbook$;Location=&quot;OpticalGatesData&quot;;Extended Properties=&quot;&quot;" commandType="0"/>
  </connection>
  <connection id="25" xr16:uid="{80919A1D-34D9-4921-AA83-B1646070FDF0}" keepAlive="1" name="Pripojenie6" type="5" refreshedVersion="0" background="1">
    <dbPr connection="Provider=Microsoft.Mashup.OleDb.1;Data Source=$Workbook$;Location=&quot;OpticalGatesData&quot;;Extended Properties=&quot;&quot;" commandType="0"/>
  </connection>
  <connection id="26" xr16:uid="{4AF5D12E-9CBF-4736-9027-FB7008AD1E57}" keepAlive="1" name="Pripojenie7" type="5" refreshedVersion="0" background="1">
    <dbPr connection="Provider=Microsoft.Mashup.OleDb.1;Data Source=$Workbook$;Location=&quot;OpticalGatesData&quot;;Extended Properties=&quot;&quot;" commandType="0"/>
  </connection>
  <connection id="27" xr16:uid="{684B236A-8EE6-4EE6-834B-F0E32643EE97}" keepAlive="1" name="Pripojenie8" type="5" refreshedVersion="0" background="1">
    <dbPr connection="Provider=Microsoft.Mashup.OleDb.1;Data Source=$Workbook$;Location=&quot;OpticalGatesData&quot;;Extended Properties=&quot;&quot;" commandType="0"/>
  </connection>
  <connection id="28" xr16:uid="{1F1414B7-ECFF-4EA0-8031-D551CF2FD3AC}" keepAlive="1" name="Pripojenie9" type="5" refreshedVersion="8" background="1" saveData="1">
    <dbPr connection="Provider=Microsoft.Mashup.OleDb.1;Data Source=$Workbook$;Location=&quot;OpticalGatesData&quot;;Extended Properties=&quot;&quot;" command="SELECT * FROM [OpticalGatesData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<sst xmlns="http://schemas.openxmlformats.org/spreadsheetml/2006/main" count="19" uniqueCount="11">
  <si>
    <t>t/s</t>
  </si>
  <si>
    <t>s/m</t>
  </si>
  <si>
    <r>
      <t>v/ms</t>
    </r>
    <r>
      <rPr>
        <b/>
        <vertAlign val="superscript"/>
        <sz val="11"/>
        <color theme="1"/>
        <rFont val="Calibri"/>
        <family val="2"/>
        <charset val="238"/>
        <scheme val="minor"/>
      </rPr>
      <t>-1</t>
    </r>
  </si>
  <si>
    <t>Pohyb guličky</t>
  </si>
  <si>
    <t>Pomalšia gulička</t>
  </si>
  <si>
    <t>Rýchlejšia gulička</t>
  </si>
  <si>
    <t>N</t>
  </si>
  <si>
    <t>In</t>
  </si>
  <si>
    <t>Vzdialenosť brán</t>
  </si>
  <si>
    <t>Gate</t>
  </si>
  <si>
    <t>In/uS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</si>
</sst>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vertAlign val="superscript"/>
      <sz val="11"/>
      <color theme="1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11"/>
      <color rgb="FFFF8080"/>
      <name val="Calibr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 diagonalUp="1"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1" tint="0.499984740745262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 style="medium">
        <color theme="1" tint="0.499984740745262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 tint="0.499984740745262"/>
      </right>
      <top style="medium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</borders>
  <cellStyleXfs count="2">
    <xf numFmtId="0" fontId="0" fillId="0" borderId="0"/>
    <xf numFmtId="0" fontId="3" fillId="5" borderId="16" applyNumberFormat="0" applyAlignment="0" applyProtection="0"/>
  </cellStyleXfs>
  <cellXfs count="49">
    <xf numFmtId="0" fontId="0" fillId="0" borderId="0" xfId="0"/>
    <xf numFmtId="2" fontId="0" fillId="0" borderId="1" xfId="0" applyNumberFormat="1" applyBorder="1" applyAlignment="1">
      <alignment horizontal="left"/>
    </xf>
    <xf numFmtId="2" fontId="0" fillId="0" borderId="7" xfId="0" applyNumberFormat="1" applyBorder="1" applyAlignment="1">
      <alignment horizontal="left"/>
    </xf>
    <xf numFmtId="0" fontId="1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2" fontId="0" fillId="0" borderId="3" xfId="0" applyNumberFormat="1" applyBorder="1" applyAlignment="1">
      <alignment horizontal="left"/>
    </xf>
    <xf numFmtId="2" fontId="0" fillId="0" borderId="15" xfId="0" applyNumberFormat="1" applyBorder="1" applyAlignment="1">
      <alignment horizontal="left"/>
    </xf>
    <xf numFmtId="0" fontId="0" fillId="0" borderId="15" xfId="0" applyBorder="1"/>
    <xf numFmtId="164" fontId="0" fillId="0" borderId="5" xfId="0" applyNumberFormat="1" applyBorder="1" applyAlignment="1">
      <alignment horizontal="left"/>
    </xf>
    <xf numFmtId="164" fontId="0" fillId="0" borderId="8" xfId="0" applyNumberFormat="1" applyBorder="1" applyAlignment="1">
      <alignment horizontal="left"/>
    </xf>
    <xf numFmtId="164" fontId="0" fillId="2" borderId="2" xfId="0" applyNumberFormat="1" applyFill="1" applyBorder="1" applyProtection="1">
      <protection locked="0"/>
    </xf>
    <xf numFmtId="164" fontId="0" fillId="2" borderId="4" xfId="0" applyNumberFormat="1" applyFill="1" applyBorder="1" applyProtection="1">
      <protection locked="0"/>
    </xf>
    <xf numFmtId="164" fontId="0" fillId="2" borderId="6" xfId="0" applyNumberFormat="1" applyFill="1" applyBorder="1" applyProtection="1">
      <protection locked="0"/>
    </xf>
    <xf numFmtId="164" fontId="0" fillId="3" borderId="2" xfId="0" applyNumberFormat="1" applyFill="1" applyBorder="1" applyProtection="1">
      <protection locked="0"/>
    </xf>
    <xf numFmtId="164" fontId="0" fillId="3" borderId="4" xfId="0" applyNumberFormat="1" applyFill="1" applyBorder="1" applyProtection="1">
      <protection locked="0"/>
    </xf>
    <xf numFmtId="164" fontId="0" fillId="3" borderId="6" xfId="0" applyNumberFormat="1" applyFill="1" applyBorder="1" applyProtection="1">
      <protection locked="0"/>
    </xf>
    <xf numFmtId="164" fontId="0" fillId="4" borderId="2" xfId="0" applyNumberFormat="1" applyFill="1" applyBorder="1" applyProtection="1">
      <protection locked="0"/>
    </xf>
    <xf numFmtId="164" fontId="0" fillId="4" borderId="4" xfId="0" applyNumberFormat="1" applyFill="1" applyBorder="1" applyProtection="1">
      <protection locked="0"/>
    </xf>
    <xf numFmtId="164" fontId="0" fillId="4" borderId="6" xfId="0" applyNumberFormat="1" applyFill="1" applyBorder="1" applyProtection="1">
      <protection locked="0"/>
    </xf>
    <xf numFmtId="0" fontId="0" fillId="0" borderId="0" xfId="0" applyAlignment="1">
      <alignment horizontal="right"/>
    </xf>
    <xf numFmtId="0" fontId="3" fillId="5" borderId="16" xfId="1"/>
    <xf numFmtId="0" fontId="0" fillId="6" borderId="17" xfId="0" applyFill="1" applyBorder="1"/>
    <xf numFmtId="0" fontId="0" fillId="6" borderId="5" xfId="0" applyFill="1" applyBorder="1"/>
    <xf numFmtId="0" fontId="0" fillId="6" borderId="8" xfId="0" applyFill="1" applyBorder="1"/>
    <xf numFmtId="0" fontId="0" fillId="6" borderId="18" xfId="0" applyFill="1" applyBorder="1"/>
    <xf numFmtId="0" fontId="0" fillId="0" borderId="19" xfId="0" applyBorder="1"/>
    <xf numFmtId="0" fontId="0" fillId="7" borderId="20" xfId="0" applyFill="1" applyBorder="1"/>
    <xf numFmtId="0" fontId="0" fillId="7" borderId="21" xfId="0" applyFill="1" applyBorder="1"/>
    <xf numFmtId="0" fontId="0" fillId="6" borderId="22" xfId="0" applyFill="1" applyBorder="1"/>
    <xf numFmtId="0" fontId="0" fillId="6" borderId="23" xfId="0" applyFill="1" applyBorder="1"/>
    <xf numFmtId="0" fontId="0" fillId="7" borderId="24" xfId="0" applyFill="1" applyBorder="1"/>
    <xf numFmtId="0" fontId="0" fillId="7" borderId="25" xfId="0" applyFill="1" applyBorder="1"/>
    <xf numFmtId="0" fontId="0" fillId="6" borderId="26" xfId="0" applyFill="1" applyBorder="1"/>
    <xf numFmtId="0" fontId="0" fillId="6" borderId="11" xfId="0" applyFill="1" applyBorder="1"/>
    <xf numFmtId="0" fontId="0" fillId="7" borderId="27" xfId="0" applyFill="1" applyBorder="1"/>
    <xf numFmtId="0" fontId="0" fillId="7" borderId="28" xfId="0" applyFill="1" applyBorder="1"/>
    <xf numFmtId="0" fontId="0" fillId="7" borderId="29" xfId="0" applyFill="1" applyBorder="1"/>
    <xf numFmtId="0" fontId="0" fillId="7" borderId="30" xfId="0" applyFill="1" applyBorder="1"/>
    <xf numFmtId="0" fontId="1" fillId="2" borderId="12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4" borderId="12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1" fillId="4" borderId="14" xfId="0" applyFont="1" applyFill="1" applyBorder="1" applyAlignment="1">
      <alignment horizontal="center"/>
    </xf>
    <xf numFmtId="0" fontId="0" fillId="0" borderId="0" xfId="0"/>
  </cellXfs>
  <cellStyles count="2">
    <cellStyle name="Normálna" xfId="0" builtinId="0"/>
    <cellStyle name="Vstup" xfId="1" builtinId="20"/>
  </cellStyles>
  <dxfs count="0"/>
  <tableStyles count="1" defaultTableStyle="TableStyleMedium2" defaultPivotStyle="PivotStyleLight16">
    <tableStyle name="Invisible" pivot="0" table="0" count="0" xr9:uid="{D4A182CD-EF4C-4B8C-ACA8-E2D8CF7B348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4385342879938271E-2"/>
          <c:y val="7.2485119504133291E-2"/>
          <c:w val="0.87676883952672136"/>
          <c:h val="0.8450709048582866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Grafy!$A$4</c:f>
              <c:strCache>
                <c:ptCount val="1"/>
                <c:pt idx="0">
                  <c:v>Pohyb guličky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Grafy!$A$6:$A$25</c:f>
              <c:numCache>
                <c:formatCode>0.000</c:formatCode>
                <c:ptCount val="20"/>
              </c:numCache>
            </c:numRef>
          </c:xVal>
          <c:yVal>
            <c:numRef>
              <c:f>Grafy!$B$6:$B$25</c:f>
              <c:numCache>
                <c:formatCode>0.00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B4-463F-8A43-08F765BEAC05}"/>
            </c:ext>
          </c:extLst>
        </c:ser>
        <c:ser>
          <c:idx val="1"/>
          <c:order val="1"/>
          <c:tx>
            <c:strRef>
              <c:f>Grafy!$E$4</c:f>
              <c:strCache>
                <c:ptCount val="1"/>
                <c:pt idx="0">
                  <c:v>Pomalšia gulička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Grafy!$E$6:$E$25</c:f>
              <c:numCache>
                <c:formatCode>0.000</c:formatCode>
                <c:ptCount val="20"/>
              </c:numCache>
            </c:numRef>
          </c:xVal>
          <c:yVal>
            <c:numRef>
              <c:f>Grafy!$F$6:$F$25</c:f>
              <c:numCache>
                <c:formatCode>0.00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8B4-463F-8A43-08F765BEAC05}"/>
            </c:ext>
          </c:extLst>
        </c:ser>
        <c:ser>
          <c:idx val="2"/>
          <c:order val="2"/>
          <c:tx>
            <c:strRef>
              <c:f>Grafy!$I$4</c:f>
              <c:strCache>
                <c:ptCount val="1"/>
                <c:pt idx="0">
                  <c:v>Rýchlejšia gulička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Grafy!$I$6:$I$25</c:f>
              <c:numCache>
                <c:formatCode>0.000</c:formatCode>
                <c:ptCount val="20"/>
              </c:numCache>
            </c:numRef>
          </c:xVal>
          <c:yVal>
            <c:numRef>
              <c:f>Grafy!$J$6:$J$25</c:f>
              <c:numCache>
                <c:formatCode>0.00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8B4-463F-8A43-08F765BEA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2683320"/>
        <c:axId val="642685480"/>
      </c:scatterChart>
      <c:valAx>
        <c:axId val="642683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642685480"/>
        <c:crosses val="autoZero"/>
        <c:crossBetween val="midCat"/>
      </c:valAx>
      <c:valAx>
        <c:axId val="642685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642683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ysDot"/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45782</xdr:colOff>
      <xdr:row>0</xdr:row>
      <xdr:rowOff>0</xdr:rowOff>
    </xdr:from>
    <xdr:to>
      <xdr:col>21</xdr:col>
      <xdr:colOff>525518</xdr:colOff>
      <xdr:row>14</xdr:row>
      <xdr:rowOff>96577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333375</xdr:colOff>
          <xdr:row>2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Vložiť namerané</a:t>
              </a:r>
            </a:p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dáta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28575</xdr:rowOff>
        </xdr:from>
        <xdr:to>
          <xdr:col>6</xdr:col>
          <xdr:colOff>438150</xdr:colOff>
          <xdr:row>2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Vložiť namerané</a:t>
              </a:r>
            </a:p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dáta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19050</xdr:rowOff>
        </xdr:from>
        <xdr:to>
          <xdr:col>10</xdr:col>
          <xdr:colOff>457200</xdr:colOff>
          <xdr:row>2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Vložiť namerané</a:t>
              </a:r>
            </a:p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dáta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66675</xdr:rowOff>
        </xdr:from>
        <xdr:to>
          <xdr:col>2</xdr:col>
          <xdr:colOff>333375</xdr:colOff>
          <xdr:row>2</xdr:row>
          <xdr:rowOff>438150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FF8080"/>
                  </a:solidFill>
                  <a:latin typeface="Calibri"/>
                  <a:ea typeface="Calibri"/>
                  <a:cs typeface="Calibri"/>
                </a:rPr>
                <a:t>Vymazať hodnoty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66675</xdr:rowOff>
        </xdr:from>
        <xdr:to>
          <xdr:col>6</xdr:col>
          <xdr:colOff>438150</xdr:colOff>
          <xdr:row>2</xdr:row>
          <xdr:rowOff>428625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FF8080"/>
                  </a:solidFill>
                  <a:latin typeface="Calibri"/>
                  <a:ea typeface="Calibri"/>
                  <a:cs typeface="Calibri"/>
                </a:rPr>
                <a:t>Vymazať hodnoty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</xdr:row>
          <xdr:rowOff>66675</xdr:rowOff>
        </xdr:from>
        <xdr:to>
          <xdr:col>10</xdr:col>
          <xdr:colOff>457200</xdr:colOff>
          <xdr:row>2</xdr:row>
          <xdr:rowOff>438150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FF8080"/>
                  </a:solidFill>
                  <a:latin typeface="Calibri"/>
                  <a:ea typeface="Calibri"/>
                  <a:cs typeface="Calibri"/>
                </a:rPr>
                <a:t>Vymazať hodnoty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éÚdaje_1" connectionId="21" xr16:uid="{8972F941-878B-4BBC-8472-BD1290BD9291}" autoFormatId="16" applyNumberFormats="0" applyBorderFormats="0" applyFontFormats="1" applyPatternFormats="1" applyAlignmentFormats="0" applyWidthHeightFormats="0">
  <queryTableRefresh nextId="3">
    <queryTableFields count="2">
      <queryTableField id="1" name="N" tableColumnId="3"/>
      <queryTableField id="2" name="In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0C017A-971D-4ABF-A565-AA51A3771A0E}" name="xOpticalGatesData" displayName="xOpticalGatesData" ref="B1:C7" tableType="queryTable" totalsRowShown="0">
  <autoFilter ref="B1:C7" xr:uid="{8B0C017A-971D-4ABF-A565-AA51A3771A0E}"/>
  <tableColumns count="2">
    <tableColumn id="3" xr3:uid="{41E1C371-D3A1-4091-BEA3-B184926B3963}" uniqueName="3" name="N" queryTableFieldId="1"/>
    <tableColumn id="4" xr3:uid="{7E2F6801-63B2-44CB-BBF7-51093D69E7B1}" uniqueName="4" name="In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Motív Office 2013 – 2022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1FEA5-AED4-4B1B-968E-D08F2E263E84}">
  <sheetPr codeName="Hárok1"/>
  <dimension ref="A1:R25"/>
  <sheetViews>
    <sheetView showGridLines="0" showRowColHeaders="0" tabSelected="1" zoomScale="115" zoomScaleNormal="115" workbookViewId="0">
      <selection activeCell="K3" sqref="K3"/>
    </sheetView>
  </sheetViews>
  <sheetFormatPr defaultRowHeight="15" x14ac:dyDescent="0.25"/>
  <cols>
    <col min="1" max="2" width="5.85546875" customWidth="1"/>
    <col min="3" max="3" width="6.7109375" customWidth="1"/>
    <col min="4" max="4" width="0.85546875" customWidth="1"/>
    <col min="5" max="6" width="5.85546875" customWidth="1"/>
    <col min="7" max="7" width="6.5703125" customWidth="1"/>
    <col min="8" max="8" width="1.42578125" customWidth="1"/>
    <col min="9" max="10" width="5.85546875" customWidth="1"/>
    <col min="11" max="11" width="7" customWidth="1"/>
    <col min="13" max="15" width="4.85546875" customWidth="1"/>
    <col min="17" max="17" width="17.5703125" bestFit="1" customWidth="1"/>
    <col min="18" max="18" width="10.85546875" bestFit="1" customWidth="1"/>
  </cols>
  <sheetData>
    <row r="1" spans="1:18" ht="18.600000000000001" customHeight="1" x14ac:dyDescent="0.25"/>
    <row r="3" spans="1:18" ht="64.5" customHeight="1" thickBot="1" x14ac:dyDescent="0.3"/>
    <row r="4" spans="1:18" ht="15.75" thickBot="1" x14ac:dyDescent="0.3">
      <c r="A4" s="39" t="s">
        <v>3</v>
      </c>
      <c r="B4" s="40"/>
      <c r="C4" s="41"/>
      <c r="E4" s="42" t="s">
        <v>4</v>
      </c>
      <c r="F4" s="43"/>
      <c r="G4" s="44"/>
      <c r="I4" s="45" t="s">
        <v>5</v>
      </c>
      <c r="J4" s="46"/>
      <c r="K4" s="47"/>
    </row>
    <row r="5" spans="1:18" ht="18" thickBot="1" x14ac:dyDescent="0.3">
      <c r="A5" s="3" t="s">
        <v>0</v>
      </c>
      <c r="B5" s="4" t="s">
        <v>1</v>
      </c>
      <c r="C5" s="5" t="s">
        <v>2</v>
      </c>
      <c r="E5" s="3" t="s">
        <v>0</v>
      </c>
      <c r="F5" s="4" t="s">
        <v>1</v>
      </c>
      <c r="G5" s="5" t="s">
        <v>2</v>
      </c>
      <c r="I5" s="3" t="s">
        <v>0</v>
      </c>
      <c r="J5" s="4" t="s">
        <v>1</v>
      </c>
      <c r="K5" s="5" t="s">
        <v>2</v>
      </c>
    </row>
    <row r="6" spans="1:18" x14ac:dyDescent="0.25">
      <c r="A6" s="11"/>
      <c r="B6" s="6"/>
      <c r="C6" s="7"/>
      <c r="E6" s="14"/>
      <c r="F6" s="6"/>
      <c r="G6" s="7"/>
      <c r="I6" s="17"/>
      <c r="J6" s="6"/>
      <c r="K6" s="8"/>
    </row>
    <row r="7" spans="1:18" x14ac:dyDescent="0.25">
      <c r="A7" s="12"/>
      <c r="B7" s="1"/>
      <c r="C7" s="9"/>
      <c r="E7" s="15"/>
      <c r="F7" s="1"/>
      <c r="G7" s="9"/>
      <c r="I7" s="18"/>
      <c r="J7" s="1"/>
      <c r="K7" s="9"/>
    </row>
    <row r="8" spans="1:18" x14ac:dyDescent="0.25">
      <c r="A8" s="12"/>
      <c r="B8" s="1"/>
      <c r="C8" s="9"/>
      <c r="E8" s="15"/>
      <c r="F8" s="1"/>
      <c r="G8" s="9"/>
      <c r="I8" s="18"/>
      <c r="J8" s="1"/>
      <c r="K8" s="9"/>
    </row>
    <row r="9" spans="1:18" x14ac:dyDescent="0.25">
      <c r="A9" s="12"/>
      <c r="B9" s="1"/>
      <c r="C9" s="9"/>
      <c r="E9" s="15"/>
      <c r="F9" s="1"/>
      <c r="G9" s="9"/>
      <c r="I9" s="18"/>
      <c r="J9" s="1"/>
      <c r="K9" s="9"/>
    </row>
    <row r="10" spans="1:18" x14ac:dyDescent="0.25">
      <c r="A10" s="12"/>
      <c r="B10" s="1"/>
      <c r="C10" s="9"/>
      <c r="E10" s="15"/>
      <c r="F10" s="1"/>
      <c r="G10" s="9"/>
      <c r="I10" s="18"/>
      <c r="J10" s="1"/>
      <c r="K10" s="9"/>
    </row>
    <row r="11" spans="1:18" x14ac:dyDescent="0.25">
      <c r="A11" s="12"/>
      <c r="B11" s="1"/>
      <c r="C11" s="9"/>
      <c r="E11" s="15"/>
      <c r="F11" s="1"/>
      <c r="G11" s="9"/>
      <c r="I11" s="18"/>
      <c r="J11" s="1"/>
      <c r="K11" s="9"/>
    </row>
    <row r="12" spans="1:18" x14ac:dyDescent="0.25">
      <c r="A12" s="12"/>
      <c r="B12" s="1"/>
      <c r="C12" s="9"/>
      <c r="E12" s="15"/>
      <c r="F12" s="1"/>
      <c r="G12" s="9"/>
      <c r="I12" s="18"/>
      <c r="J12" s="1"/>
      <c r="K12" s="9"/>
    </row>
    <row r="13" spans="1:18" x14ac:dyDescent="0.25">
      <c r="A13" s="12"/>
      <c r="B13" s="1"/>
      <c r="C13" s="9"/>
      <c r="E13" s="15"/>
      <c r="F13" s="1"/>
      <c r="G13" s="9"/>
      <c r="I13" s="18"/>
      <c r="J13" s="1"/>
      <c r="K13" s="9"/>
    </row>
    <row r="14" spans="1:18" x14ac:dyDescent="0.25">
      <c r="A14" s="12"/>
      <c r="B14" s="1"/>
      <c r="C14" s="9"/>
      <c r="E14" s="15"/>
      <c r="F14" s="1"/>
      <c r="G14" s="9"/>
      <c r="I14" s="18"/>
      <c r="J14" s="1"/>
      <c r="K14" s="9"/>
    </row>
    <row r="15" spans="1:18" x14ac:dyDescent="0.25">
      <c r="A15" s="12"/>
      <c r="B15" s="1"/>
      <c r="C15" s="9"/>
      <c r="E15" s="15"/>
      <c r="F15" s="1"/>
      <c r="G15" s="9"/>
      <c r="I15" s="18"/>
      <c r="J15" s="1"/>
      <c r="K15" s="9"/>
    </row>
    <row r="16" spans="1:18" x14ac:dyDescent="0.25">
      <c r="A16" s="12"/>
      <c r="B16" s="1"/>
      <c r="C16" s="9"/>
      <c r="E16" s="15"/>
      <c r="F16" s="1"/>
      <c r="G16" s="9"/>
      <c r="I16" s="18"/>
      <c r="J16" s="1"/>
      <c r="K16" s="9"/>
      <c r="M16" s="48"/>
      <c r="N16" s="48"/>
      <c r="O16" s="48"/>
      <c r="P16" s="48"/>
      <c r="Q16" s="48"/>
      <c r="R16" s="48"/>
    </row>
    <row r="17" spans="1:11" x14ac:dyDescent="0.25">
      <c r="A17" s="12"/>
      <c r="B17" s="1"/>
      <c r="C17" s="9"/>
      <c r="E17" s="15"/>
      <c r="F17" s="1"/>
      <c r="G17" s="9"/>
      <c r="I17" s="18"/>
      <c r="J17" s="1"/>
      <c r="K17" s="9"/>
    </row>
    <row r="18" spans="1:11" x14ac:dyDescent="0.25">
      <c r="A18" s="12"/>
      <c r="B18" s="1"/>
      <c r="C18" s="9"/>
      <c r="E18" s="15"/>
      <c r="F18" s="1"/>
      <c r="G18" s="9"/>
      <c r="I18" s="18"/>
      <c r="J18" s="1"/>
      <c r="K18" s="9"/>
    </row>
    <row r="19" spans="1:11" x14ac:dyDescent="0.25">
      <c r="A19" s="12"/>
      <c r="B19" s="1"/>
      <c r="C19" s="9"/>
      <c r="E19" s="15"/>
      <c r="F19" s="1"/>
      <c r="G19" s="9"/>
      <c r="I19" s="18"/>
      <c r="J19" s="1"/>
      <c r="K19" s="9"/>
    </row>
    <row r="20" spans="1:11" x14ac:dyDescent="0.25">
      <c r="A20" s="12"/>
      <c r="B20" s="1"/>
      <c r="C20" s="9"/>
      <c r="E20" s="15"/>
      <c r="F20" s="1"/>
      <c r="G20" s="9"/>
      <c r="I20" s="18"/>
      <c r="J20" s="1"/>
      <c r="K20" s="9"/>
    </row>
    <row r="21" spans="1:11" x14ac:dyDescent="0.25">
      <c r="A21" s="12"/>
      <c r="B21" s="1"/>
      <c r="C21" s="9"/>
      <c r="E21" s="15"/>
      <c r="F21" s="1"/>
      <c r="G21" s="9"/>
      <c r="I21" s="18"/>
      <c r="J21" s="1"/>
      <c r="K21" s="9"/>
    </row>
    <row r="22" spans="1:11" x14ac:dyDescent="0.25">
      <c r="A22" s="12"/>
      <c r="B22" s="1"/>
      <c r="C22" s="9"/>
      <c r="E22" s="15"/>
      <c r="F22" s="1"/>
      <c r="G22" s="9"/>
      <c r="I22" s="18"/>
      <c r="J22" s="1"/>
      <c r="K22" s="9"/>
    </row>
    <row r="23" spans="1:11" x14ac:dyDescent="0.25">
      <c r="A23" s="12"/>
      <c r="B23" s="1"/>
      <c r="C23" s="9"/>
      <c r="E23" s="15"/>
      <c r="F23" s="1"/>
      <c r="G23" s="9"/>
      <c r="I23" s="18"/>
      <c r="J23" s="1"/>
      <c r="K23" s="9"/>
    </row>
    <row r="24" spans="1:11" x14ac:dyDescent="0.25">
      <c r="A24" s="12"/>
      <c r="B24" s="1"/>
      <c r="C24" s="9"/>
      <c r="E24" s="15"/>
      <c r="F24" s="1"/>
      <c r="G24" s="9"/>
      <c r="I24" s="18"/>
      <c r="J24" s="1"/>
      <c r="K24" s="9"/>
    </row>
    <row r="25" spans="1:11" ht="15.75" thickBot="1" x14ac:dyDescent="0.3">
      <c r="A25" s="13"/>
      <c r="B25" s="2"/>
      <c r="C25" s="10"/>
      <c r="E25" s="16"/>
      <c r="F25" s="2"/>
      <c r="G25" s="10"/>
      <c r="I25" s="19"/>
      <c r="J25" s="2"/>
      <c r="K25" s="10"/>
    </row>
  </sheetData>
  <mergeCells count="4">
    <mergeCell ref="A4:C4"/>
    <mergeCell ref="E4:G4"/>
    <mergeCell ref="I4:K4"/>
    <mergeCell ref="M16:R1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sertDataToGraphG1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333375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sertDataToGraphG2">
                <anchor moveWithCells="1" sizeWithCells="1">
                  <from>
                    <xdr:col>3</xdr:col>
                    <xdr:colOff>57150</xdr:colOff>
                    <xdr:row>0</xdr:row>
                    <xdr:rowOff>28575</xdr:rowOff>
                  </from>
                  <to>
                    <xdr:col>6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nsertDataToGraphG3">
                <anchor moveWithCells="1" sizeWithCells="1">
                  <from>
                    <xdr:col>8</xdr:col>
                    <xdr:colOff>19050</xdr:colOff>
                    <xdr:row>0</xdr:row>
                    <xdr:rowOff>19050</xdr:rowOff>
                  </from>
                  <to>
                    <xdr:col>10</xdr:col>
                    <xdr:colOff>457200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TableG1">
                <anchor moveWithCells="1" sizeWithCells="1">
                  <from>
                    <xdr:col>0</xdr:col>
                    <xdr:colOff>0</xdr:colOff>
                    <xdr:row>2</xdr:row>
                    <xdr:rowOff>66675</xdr:rowOff>
                  </from>
                  <to>
                    <xdr:col>2</xdr:col>
                    <xdr:colOff>333375</xdr:colOff>
                    <xdr:row>2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learTableG2">
                <anchor moveWithCells="1" sizeWithCells="1">
                  <from>
                    <xdr:col>4</xdr:col>
                    <xdr:colOff>9525</xdr:colOff>
                    <xdr:row>2</xdr:row>
                    <xdr:rowOff>66675</xdr:rowOff>
                  </from>
                  <to>
                    <xdr:col>6</xdr:col>
                    <xdr:colOff>438150</xdr:colOff>
                    <xdr:row>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ClearTableG3">
                <anchor moveWithCells="1" sizeWithCells="1">
                  <from>
                    <xdr:col>8</xdr:col>
                    <xdr:colOff>9525</xdr:colOff>
                    <xdr:row>2</xdr:row>
                    <xdr:rowOff>66675</xdr:rowOff>
                  </from>
                  <to>
                    <xdr:col>10</xdr:col>
                    <xdr:colOff>457200</xdr:colOff>
                    <xdr:row>2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E321B-02E5-458E-BE8E-76820A194845}">
  <sheetPr codeName="wsData"/>
  <dimension ref="A1:I21"/>
  <sheetViews>
    <sheetView workbookViewId="0">
      <selection activeCell="G9" sqref="G9"/>
    </sheetView>
  </sheetViews>
  <sheetFormatPr defaultRowHeight="15" x14ac:dyDescent="0.25"/>
  <cols>
    <col min="2" max="2" width="4.7109375" bestFit="1" customWidth="1"/>
    <col min="3" max="3" width="8" bestFit="1" customWidth="1"/>
    <col min="4" max="4" width="2.85546875" customWidth="1"/>
    <col min="5" max="5" width="5.140625" bestFit="1" customWidth="1"/>
    <col min="11" max="12" width="9.5703125" customWidth="1"/>
  </cols>
  <sheetData>
    <row r="1" spans="1:9" ht="15.75" thickBot="1" x14ac:dyDescent="0.3">
      <c r="A1">
        <v>1</v>
      </c>
      <c r="B1" t="s">
        <v>6</v>
      </c>
      <c r="C1" t="s">
        <v>7</v>
      </c>
      <c r="E1" s="31" t="s">
        <v>9</v>
      </c>
      <c r="F1" s="32" t="s">
        <v>10</v>
      </c>
      <c r="G1" s="33" t="s">
        <v>0</v>
      </c>
      <c r="H1" s="34" t="s">
        <v>1</v>
      </c>
    </row>
    <row r="2" spans="1:9" x14ac:dyDescent="0.25">
      <c r="A2">
        <v>2</v>
      </c>
      <c r="B2">
        <v>0</v>
      </c>
      <c r="C2">
        <v>0</v>
      </c>
      <c r="E2" s="35" cm="1">
        <f t="array" aca="1" ref="E2" ca="1">IF(ISBLANK(INDIRECT("B"&amp;A2)),"",INDIRECT("B"&amp;A2))</f>
        <v>0</v>
      </c>
      <c r="F2" s="36" cm="1">
        <f t="array" aca="1" ref="F2" ca="1">IF(LEN(E2)&gt;0,INDIRECT("C"&amp;A2),"")</f>
        <v>0</v>
      </c>
      <c r="G2" s="22">
        <v>0</v>
      </c>
      <c r="H2" s="30">
        <v>0</v>
      </c>
    </row>
    <row r="3" spans="1:9" x14ac:dyDescent="0.25">
      <c r="A3">
        <v>3</v>
      </c>
      <c r="B3">
        <v>1</v>
      </c>
      <c r="C3">
        <v>359560</v>
      </c>
      <c r="E3" s="27" cm="1">
        <f t="array" aca="1" ref="E3" ca="1">IF(ISBLANK(INDIRECT("B"&amp;A3)),"",INDIRECT("B"&amp;A3))</f>
        <v>1</v>
      </c>
      <c r="F3" s="37" cm="1">
        <f t="array" aca="1" ref="F3" ca="1">IF(LEN(E3)&gt;0,INDIRECT("C"&amp;A3),"")</f>
        <v>359560</v>
      </c>
      <c r="G3" s="25">
        <f ca="1">IF(LEN(E3)&gt;0,F3/1000000,"")</f>
        <v>0.35955999999999999</v>
      </c>
      <c r="H3" s="23">
        <f t="shared" ref="H3:H21" ca="1" si="0">IF(LEN(E3)&gt;0,H2+xVzdialenostBran,"")</f>
        <v>0.1</v>
      </c>
    </row>
    <row r="4" spans="1:9" x14ac:dyDescent="0.25">
      <c r="A4">
        <v>4</v>
      </c>
      <c r="B4">
        <v>2</v>
      </c>
      <c r="C4">
        <v>683844</v>
      </c>
      <c r="E4" s="27" cm="1">
        <f t="array" aca="1" ref="E4" ca="1">IF(ISBLANK(INDIRECT("B"&amp;A4)),"",INDIRECT("B"&amp;A4))</f>
        <v>2</v>
      </c>
      <c r="F4" s="37" cm="1">
        <f t="array" aca="1" ref="F4" ca="1">IF(LEN(E4)&gt;0,INDIRECT("C"&amp;A4),"")</f>
        <v>683844</v>
      </c>
      <c r="G4" s="25">
        <f ca="1">IF(LEN(E4)&gt;0,F4/1000000,"")</f>
        <v>0.68384400000000001</v>
      </c>
      <c r="H4" s="23">
        <f t="shared" ca="1" si="0"/>
        <v>0.2</v>
      </c>
    </row>
    <row r="5" spans="1:9" x14ac:dyDescent="0.25">
      <c r="A5">
        <v>5</v>
      </c>
      <c r="B5">
        <v>3</v>
      </c>
      <c r="C5">
        <v>996920</v>
      </c>
      <c r="E5" s="27" cm="1">
        <f t="array" aca="1" ref="E5" ca="1">IF(ISBLANK(INDIRECT("B"&amp;A5)),"",INDIRECT("B"&amp;A5))</f>
        <v>3</v>
      </c>
      <c r="F5" s="37" cm="1">
        <f t="array" aca="1" ref="F5" ca="1">IF(LEN(E5)&gt;0,INDIRECT("C"&amp;A5),"")</f>
        <v>996920</v>
      </c>
      <c r="G5" s="25">
        <f t="shared" ref="G5:G21" ca="1" si="1">IF(LEN(E5)&gt;0,F5/1000000,"")</f>
        <v>0.99692000000000003</v>
      </c>
      <c r="H5" s="23">
        <f t="shared" ca="1" si="0"/>
        <v>0.30000000000000004</v>
      </c>
    </row>
    <row r="6" spans="1:9" x14ac:dyDescent="0.25">
      <c r="A6">
        <v>6</v>
      </c>
      <c r="B6">
        <v>4</v>
      </c>
      <c r="C6">
        <v>1312059</v>
      </c>
      <c r="E6" s="27" cm="1">
        <f t="array" aca="1" ref="E6" ca="1">IF(ISBLANK(INDIRECT("B"&amp;A6)),"",INDIRECT("B"&amp;A6))</f>
        <v>4</v>
      </c>
      <c r="F6" s="37" cm="1">
        <f t="array" aca="1" ref="F6" ca="1">IF(LEN(E6)&gt;0,INDIRECT("C"&amp;A6),"")</f>
        <v>1312059</v>
      </c>
      <c r="G6" s="25">
        <f t="shared" ca="1" si="1"/>
        <v>1.3120590000000001</v>
      </c>
      <c r="H6" s="23">
        <f t="shared" ca="1" si="0"/>
        <v>0.4</v>
      </c>
    </row>
    <row r="7" spans="1:9" x14ac:dyDescent="0.25">
      <c r="A7">
        <v>7</v>
      </c>
      <c r="B7">
        <v>5</v>
      </c>
      <c r="C7">
        <v>1638167</v>
      </c>
      <c r="E7" s="27" cm="1">
        <f t="array" aca="1" ref="E7" ca="1">IF(ISBLANK(INDIRECT("B"&amp;A7)),"",INDIRECT("B"&amp;A7))</f>
        <v>5</v>
      </c>
      <c r="F7" s="37" cm="1">
        <f t="array" aca="1" ref="F7" ca="1">IF(LEN(E7)&gt;0,INDIRECT("C"&amp;A7),"")</f>
        <v>1638167</v>
      </c>
      <c r="G7" s="25">
        <f t="shared" ca="1" si="1"/>
        <v>1.6381669999999999</v>
      </c>
      <c r="H7" s="23">
        <f t="shared" ca="1" si="0"/>
        <v>0.5</v>
      </c>
    </row>
    <row r="8" spans="1:9" x14ac:dyDescent="0.25">
      <c r="A8">
        <v>8</v>
      </c>
      <c r="E8" s="27" t="str" cm="1">
        <f t="array" aca="1" ref="E8" ca="1">IF(ISBLANK(INDIRECT("B"&amp;A8)),"",INDIRECT("B"&amp;A8))</f>
        <v/>
      </c>
      <c r="F8" s="37" t="str" cm="1">
        <f t="array" aca="1" ref="F8" ca="1">IF(LEN(E8)&gt;0,INDIRECT("C"&amp;A8),"")</f>
        <v/>
      </c>
      <c r="G8" s="25" t="str">
        <f t="shared" ca="1" si="1"/>
        <v/>
      </c>
      <c r="H8" s="23" t="str">
        <f t="shared" ca="1" si="0"/>
        <v/>
      </c>
      <c r="I8" s="26"/>
    </row>
    <row r="9" spans="1:9" x14ac:dyDescent="0.25">
      <c r="A9">
        <v>9</v>
      </c>
      <c r="E9" s="27" t="str" cm="1">
        <f t="array" aca="1" ref="E9" ca="1">IF(ISBLANK(INDIRECT("B"&amp;A9)),"",INDIRECT("B"&amp;A9))</f>
        <v/>
      </c>
      <c r="F9" s="37" t="str" cm="1">
        <f t="array" aca="1" ref="F9" ca="1">IF(LEN(E9)&gt;0,INDIRECT("C"&amp;A9),"")</f>
        <v/>
      </c>
      <c r="G9" s="25" t="str">
        <f t="shared" ca="1" si="1"/>
        <v/>
      </c>
      <c r="H9" s="23" t="str">
        <f t="shared" ca="1" si="0"/>
        <v/>
      </c>
    </row>
    <row r="10" spans="1:9" x14ac:dyDescent="0.25">
      <c r="A10">
        <v>10</v>
      </c>
      <c r="E10" s="27" t="str" cm="1">
        <f t="array" aca="1" ref="E10" ca="1">IF(ISBLANK(INDIRECT("B"&amp;A10)),"",INDIRECT("B"&amp;A10))</f>
        <v/>
      </c>
      <c r="F10" s="37" t="str" cm="1">
        <f t="array" aca="1" ref="F10" ca="1">IF(LEN(E10)&gt;0,INDIRECT("C"&amp;A10),"")</f>
        <v/>
      </c>
      <c r="G10" s="25" t="str">
        <f t="shared" ca="1" si="1"/>
        <v/>
      </c>
      <c r="H10" s="23" t="str">
        <f t="shared" ca="1" si="0"/>
        <v/>
      </c>
    </row>
    <row r="11" spans="1:9" x14ac:dyDescent="0.25">
      <c r="A11">
        <v>11</v>
      </c>
      <c r="E11" s="27" t="str" cm="1">
        <f t="array" aca="1" ref="E11" ca="1">IF(ISBLANK(INDIRECT("B"&amp;A11)),"",INDIRECT("B"&amp;A11))</f>
        <v/>
      </c>
      <c r="F11" s="37" t="str" cm="1">
        <f t="array" aca="1" ref="F11" ca="1">IF(LEN(E11)&gt;0,INDIRECT("C"&amp;A11),"")</f>
        <v/>
      </c>
      <c r="G11" s="25" t="str">
        <f t="shared" ca="1" si="1"/>
        <v/>
      </c>
      <c r="H11" s="23" t="str">
        <f t="shared" ca="1" si="0"/>
        <v/>
      </c>
    </row>
    <row r="12" spans="1:9" x14ac:dyDescent="0.25">
      <c r="A12">
        <v>12</v>
      </c>
      <c r="E12" s="27" t="str" cm="1">
        <f t="array" aca="1" ref="E12" ca="1">IF(ISBLANK(INDIRECT("B"&amp;A12)),"",INDIRECT("B"&amp;A12))</f>
        <v/>
      </c>
      <c r="F12" s="37" t="str" cm="1">
        <f t="array" aca="1" ref="F12" ca="1">IF(LEN(E12)&gt;0,INDIRECT("C"&amp;A12),"")</f>
        <v/>
      </c>
      <c r="G12" s="25" t="str">
        <f t="shared" ca="1" si="1"/>
        <v/>
      </c>
      <c r="H12" s="23" t="str">
        <f t="shared" ca="1" si="0"/>
        <v/>
      </c>
    </row>
    <row r="13" spans="1:9" x14ac:dyDescent="0.25">
      <c r="A13">
        <v>13</v>
      </c>
      <c r="E13" s="27" t="str" cm="1">
        <f t="array" aca="1" ref="E13" ca="1">IF(ISBLANK(INDIRECT("B"&amp;A13)),"",INDIRECT("B"&amp;A13))</f>
        <v/>
      </c>
      <c r="F13" s="37" t="str" cm="1">
        <f t="array" aca="1" ref="F13" ca="1">IF(LEN(E13)&gt;0,INDIRECT("C"&amp;A13),"")</f>
        <v/>
      </c>
      <c r="G13" s="25" t="str">
        <f t="shared" ca="1" si="1"/>
        <v/>
      </c>
      <c r="H13" s="23" t="str">
        <f t="shared" ca="1" si="0"/>
        <v/>
      </c>
    </row>
    <row r="14" spans="1:9" x14ac:dyDescent="0.25">
      <c r="A14">
        <v>14</v>
      </c>
      <c r="E14" s="27" t="str" cm="1">
        <f t="array" aca="1" ref="E14" ca="1">IF(ISBLANK(INDIRECT("B"&amp;A14)),"",INDIRECT("B"&amp;A14))</f>
        <v/>
      </c>
      <c r="F14" s="37" t="str" cm="1">
        <f t="array" aca="1" ref="F14" ca="1">IF(LEN(E14)&gt;0,INDIRECT("C"&amp;A14),"")</f>
        <v/>
      </c>
      <c r="G14" s="25" t="str">
        <f t="shared" ca="1" si="1"/>
        <v/>
      </c>
      <c r="H14" s="23" t="str">
        <f t="shared" ca="1" si="0"/>
        <v/>
      </c>
    </row>
    <row r="15" spans="1:9" x14ac:dyDescent="0.25">
      <c r="A15">
        <v>15</v>
      </c>
      <c r="E15" s="27" t="str" cm="1">
        <f t="array" aca="1" ref="E15" ca="1">IF(ISBLANK(INDIRECT("B"&amp;A15)),"",INDIRECT("B"&amp;A15))</f>
        <v/>
      </c>
      <c r="F15" s="37" t="str" cm="1">
        <f t="array" aca="1" ref="F15" ca="1">IF(LEN(E15)&gt;0,INDIRECT("C"&amp;A15),"")</f>
        <v/>
      </c>
      <c r="G15" s="25" t="str">
        <f t="shared" ca="1" si="1"/>
        <v/>
      </c>
      <c r="H15" s="23" t="str">
        <f t="shared" ca="1" si="0"/>
        <v/>
      </c>
    </row>
    <row r="16" spans="1:9" x14ac:dyDescent="0.25">
      <c r="A16">
        <v>16</v>
      </c>
      <c r="E16" s="27" t="str" cm="1">
        <f t="array" aca="1" ref="E16" ca="1">IF(ISBLANK(INDIRECT("B"&amp;A16)),"",INDIRECT("B"&amp;A16))</f>
        <v/>
      </c>
      <c r="F16" s="37" t="str" cm="1">
        <f t="array" aca="1" ref="F16" ca="1">IF(LEN(E16)&gt;0,INDIRECT("C"&amp;A16),"")</f>
        <v/>
      </c>
      <c r="G16" s="25" t="str">
        <f t="shared" ca="1" si="1"/>
        <v/>
      </c>
      <c r="H16" s="23" t="str">
        <f t="shared" ca="1" si="0"/>
        <v/>
      </c>
    </row>
    <row r="17" spans="1:8" x14ac:dyDescent="0.25">
      <c r="A17">
        <v>17</v>
      </c>
      <c r="E17" s="27" t="str" cm="1">
        <f t="array" aca="1" ref="E17" ca="1">IF(ISBLANK(INDIRECT("B"&amp;A17)),"",INDIRECT("B"&amp;A17))</f>
        <v/>
      </c>
      <c r="F17" s="37" t="str" cm="1">
        <f t="array" aca="1" ref="F17" ca="1">IF(LEN(E17)&gt;0,INDIRECT("C"&amp;A17),"")</f>
        <v/>
      </c>
      <c r="G17" s="25" t="str">
        <f t="shared" ca="1" si="1"/>
        <v/>
      </c>
      <c r="H17" s="23" t="str">
        <f t="shared" ca="1" si="0"/>
        <v/>
      </c>
    </row>
    <row r="18" spans="1:8" x14ac:dyDescent="0.25">
      <c r="A18">
        <v>18</v>
      </c>
      <c r="E18" s="27" t="str" cm="1">
        <f t="array" aca="1" ref="E18" ca="1">IF(ISBLANK(INDIRECT("B"&amp;A18)),"",INDIRECT("B"&amp;A18))</f>
        <v/>
      </c>
      <c r="F18" s="37" t="str" cm="1">
        <f t="array" aca="1" ref="F18" ca="1">IF(LEN(E18)&gt;0,INDIRECT("C"&amp;A18),"")</f>
        <v/>
      </c>
      <c r="G18" s="25" t="str">
        <f t="shared" ca="1" si="1"/>
        <v/>
      </c>
      <c r="H18" s="23" t="str">
        <f t="shared" ca="1" si="0"/>
        <v/>
      </c>
    </row>
    <row r="19" spans="1:8" x14ac:dyDescent="0.25">
      <c r="A19">
        <v>19</v>
      </c>
      <c r="E19" s="27" t="str" cm="1">
        <f t="array" aca="1" ref="E19" ca="1">IF(ISBLANK(INDIRECT("B"&amp;A19)),"",INDIRECT("B"&amp;A19))</f>
        <v/>
      </c>
      <c r="F19" s="37" t="str" cm="1">
        <f t="array" aca="1" ref="F19" ca="1">IF(LEN(E19)&gt;0,INDIRECT("C"&amp;A19),"")</f>
        <v/>
      </c>
      <c r="G19" s="25" t="str">
        <f t="shared" ca="1" si="1"/>
        <v/>
      </c>
      <c r="H19" s="23" t="str">
        <f t="shared" ca="1" si="0"/>
        <v/>
      </c>
    </row>
    <row r="20" spans="1:8" x14ac:dyDescent="0.25">
      <c r="A20">
        <v>20</v>
      </c>
      <c r="E20" s="27" t="str" cm="1">
        <f t="array" aca="1" ref="E20" ca="1">IF(ISBLANK(INDIRECT("B"&amp;A20)),"",INDIRECT("B"&amp;A20))</f>
        <v/>
      </c>
      <c r="F20" s="37" t="str" cm="1">
        <f t="array" aca="1" ref="F20" ca="1">IF(LEN(E20)&gt;0,INDIRECT("C"&amp;A20),"")</f>
        <v/>
      </c>
      <c r="G20" s="25" t="str">
        <f t="shared" ca="1" si="1"/>
        <v/>
      </c>
      <c r="H20" s="23" t="str">
        <f t="shared" ca="1" si="0"/>
        <v/>
      </c>
    </row>
    <row r="21" spans="1:8" ht="15.75" thickBot="1" x14ac:dyDescent="0.3">
      <c r="A21">
        <v>21</v>
      </c>
      <c r="E21" s="28" t="str" cm="1">
        <f t="array" aca="1" ref="E21" ca="1">IF(ISBLANK(INDIRECT("B"&amp;A21)),"",INDIRECT("B"&amp;A21))</f>
        <v/>
      </c>
      <c r="F21" s="38" t="str" cm="1">
        <f t="array" aca="1" ref="F21" ca="1">IF(LEN(E21)&gt;0,INDIRECT("C"&amp;A21),"")</f>
        <v/>
      </c>
      <c r="G21" s="29" t="str">
        <f t="shared" ca="1" si="1"/>
        <v/>
      </c>
      <c r="H21" s="24" t="str">
        <f t="shared" ca="1" si="0"/>
        <v/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B2BD1-49F4-4DC3-92E8-F17B4DFC3C25}">
  <sheetPr codeName="Hárok4"/>
  <dimension ref="A1:B1"/>
  <sheetViews>
    <sheetView workbookViewId="0">
      <selection activeCell="B1" sqref="B1"/>
    </sheetView>
  </sheetViews>
  <sheetFormatPr defaultRowHeight="15" x14ac:dyDescent="0.25"/>
  <cols>
    <col min="1" max="1" width="20.140625" customWidth="1"/>
  </cols>
  <sheetData>
    <row r="1" spans="1:2" x14ac:dyDescent="0.25">
      <c r="A1" s="20" t="s">
        <v>8</v>
      </c>
      <c r="B1" s="21">
        <v>0.1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customTab" label="Optické brány">
        <group id="customGroup" label="Dáta">
          <button id="btn" label="Dátový súbor" size="large" onAction="btnDataFile_OnClick" imageMso="FileNew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878A1EC-21BA-4C95-8658-E04701A731C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Hárky</vt:lpstr>
      </vt:variant>
      <vt:variant>
        <vt:i4>3</vt:i4>
      </vt:variant>
      <vt:variant>
        <vt:lpstr>Pomenované rozsahy</vt:lpstr>
      </vt:variant>
      <vt:variant>
        <vt:i4>6</vt:i4>
      </vt:variant>
    </vt:vector>
  </HeadingPairs>
  <TitlesOfParts>
    <vt:vector size="9" baseType="lpstr">
      <vt:lpstr>Grafy</vt:lpstr>
      <vt:lpstr>Data</vt:lpstr>
      <vt:lpstr>Nastavenia</vt:lpstr>
      <vt:lpstr>xDataGraphG1</vt:lpstr>
      <vt:lpstr>xDataGraphG2</vt:lpstr>
      <vt:lpstr>xDataGraphG3</vt:lpstr>
      <vt:lpstr>xGrafData_ts</vt:lpstr>
      <vt:lpstr>xGraphData</vt:lpstr>
      <vt:lpstr>xVzdialenostBran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Janček</dc:creator>
  <cp:lastModifiedBy>Martin Janček</cp:lastModifiedBy>
  <dcterms:created xsi:type="dcterms:W3CDTF">2023-11-27T19:34:59Z</dcterms:created>
  <dcterms:modified xsi:type="dcterms:W3CDTF">2024-07-29T13:37:15Z</dcterms:modified>
</cp:coreProperties>
</file>